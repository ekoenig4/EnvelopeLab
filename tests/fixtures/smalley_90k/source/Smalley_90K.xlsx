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k\Downloads\"/>
    </mc:Choice>
  </mc:AlternateContent>
  <xr:revisionPtr revIDLastSave="0" documentId="8_{0D466879-D426-4402-9E7E-A45639123714}" xr6:coauthVersionLast="47" xr6:coauthVersionMax="47" xr10:uidLastSave="{00000000-0000-0000-0000-000000000000}"/>
  <bookViews>
    <workbookView xWindow="-108" yWindow="-108" windowWidth="23256" windowHeight="12456" xr2:uid="{938BAB6A-9A2C-4832-B8E6-B07A8BD763D1}"/>
  </bookViews>
  <sheets>
    <sheet name="90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C10" i="1"/>
  <c r="D10" i="1"/>
  <c r="E10" i="1"/>
  <c r="F10" i="1"/>
  <c r="G10" i="1"/>
  <c r="H10" i="1"/>
  <c r="A11" i="1"/>
  <c r="C11" i="1"/>
  <c r="D11" i="1"/>
  <c r="E11" i="1"/>
  <c r="F11" i="1"/>
  <c r="G11" i="1"/>
  <c r="H11" i="1"/>
  <c r="A12" i="1"/>
  <c r="C12" i="1"/>
  <c r="D12" i="1"/>
  <c r="E12" i="1"/>
  <c r="F12" i="1"/>
  <c r="G12" i="1"/>
  <c r="H12" i="1"/>
  <c r="A13" i="1"/>
  <c r="C13" i="1"/>
  <c r="D13" i="1"/>
  <c r="E13" i="1"/>
  <c r="F13" i="1"/>
  <c r="G13" i="1"/>
  <c r="H13" i="1"/>
  <c r="A14" i="1"/>
  <c r="C14" i="1"/>
  <c r="D14" i="1"/>
  <c r="E14" i="1"/>
  <c r="F14" i="1"/>
  <c r="G14" i="1"/>
  <c r="H14" i="1"/>
  <c r="A15" i="1"/>
  <c r="C15" i="1"/>
  <c r="D15" i="1"/>
  <c r="E15" i="1"/>
  <c r="F15" i="1"/>
  <c r="G15" i="1"/>
  <c r="H15" i="1"/>
  <c r="A16" i="1"/>
  <c r="C16" i="1"/>
  <c r="D16" i="1"/>
  <c r="E16" i="1"/>
  <c r="F16" i="1"/>
  <c r="G16" i="1"/>
  <c r="H16" i="1"/>
  <c r="A17" i="1"/>
  <c r="C17" i="1"/>
  <c r="D17" i="1"/>
  <c r="E17" i="1"/>
  <c r="F17" i="1"/>
  <c r="G17" i="1"/>
  <c r="H17" i="1"/>
  <c r="A18" i="1"/>
  <c r="C18" i="1"/>
  <c r="D18" i="1"/>
  <c r="E18" i="1"/>
  <c r="F18" i="1"/>
  <c r="G18" i="1"/>
  <c r="H18" i="1"/>
  <c r="A19" i="1"/>
  <c r="C19" i="1"/>
  <c r="D19" i="1"/>
  <c r="E19" i="1"/>
  <c r="F19" i="1"/>
  <c r="G19" i="1"/>
  <c r="H19" i="1"/>
  <c r="A20" i="1"/>
  <c r="C20" i="1"/>
  <c r="D20" i="1"/>
  <c r="E20" i="1"/>
  <c r="F20" i="1"/>
  <c r="G20" i="1"/>
  <c r="H20" i="1"/>
  <c r="A21" i="1"/>
  <c r="C21" i="1"/>
  <c r="D21" i="1"/>
  <c r="E21" i="1"/>
  <c r="F21" i="1"/>
  <c r="G21" i="1"/>
  <c r="H21" i="1"/>
  <c r="A22" i="1"/>
  <c r="C22" i="1"/>
  <c r="D22" i="1"/>
  <c r="E22" i="1"/>
  <c r="F22" i="1"/>
  <c r="G22" i="1"/>
  <c r="H22" i="1"/>
  <c r="A23" i="1"/>
  <c r="C23" i="1"/>
  <c r="D23" i="1"/>
  <c r="E23" i="1"/>
  <c r="F23" i="1"/>
  <c r="G23" i="1"/>
  <c r="H23" i="1"/>
  <c r="A24" i="1"/>
  <c r="C24" i="1"/>
  <c r="D24" i="1"/>
  <c r="E24" i="1"/>
  <c r="F24" i="1"/>
  <c r="G24" i="1"/>
  <c r="H24" i="1"/>
  <c r="A25" i="1"/>
  <c r="C25" i="1"/>
  <c r="D25" i="1"/>
  <c r="E25" i="1"/>
  <c r="F25" i="1"/>
  <c r="G25" i="1"/>
  <c r="H25" i="1"/>
  <c r="A26" i="1"/>
  <c r="C26" i="1"/>
  <c r="D26" i="1"/>
  <c r="E26" i="1"/>
  <c r="F26" i="1"/>
  <c r="G26" i="1"/>
  <c r="H26" i="1"/>
  <c r="A27" i="1"/>
  <c r="C27" i="1"/>
  <c r="D27" i="1"/>
  <c r="E27" i="1"/>
  <c r="F27" i="1"/>
  <c r="G27" i="1"/>
  <c r="H27" i="1"/>
  <c r="A28" i="1"/>
  <c r="C28" i="1"/>
  <c r="D28" i="1"/>
  <c r="E28" i="1"/>
  <c r="F28" i="1"/>
  <c r="G28" i="1"/>
  <c r="H28" i="1"/>
  <c r="A29" i="1"/>
  <c r="C29" i="1"/>
  <c r="D29" i="1"/>
  <c r="E29" i="1"/>
  <c r="F29" i="1"/>
  <c r="G29" i="1"/>
  <c r="H29" i="1"/>
  <c r="A30" i="1"/>
  <c r="C30" i="1"/>
  <c r="D30" i="1"/>
  <c r="E30" i="1"/>
  <c r="F30" i="1"/>
  <c r="G30" i="1"/>
  <c r="H30" i="1"/>
  <c r="A31" i="1"/>
  <c r="C31" i="1"/>
  <c r="D31" i="1"/>
  <c r="E31" i="1"/>
  <c r="F31" i="1"/>
  <c r="G31" i="1"/>
  <c r="H31" i="1"/>
  <c r="A32" i="1"/>
  <c r="C32" i="1"/>
  <c r="D32" i="1"/>
  <c r="E32" i="1"/>
  <c r="F32" i="1"/>
  <c r="G32" i="1"/>
  <c r="H32" i="1"/>
  <c r="A33" i="1"/>
  <c r="C33" i="1"/>
  <c r="D33" i="1"/>
  <c r="E33" i="1"/>
  <c r="F33" i="1"/>
  <c r="G33" i="1"/>
  <c r="H33" i="1"/>
  <c r="A34" i="1"/>
  <c r="C34" i="1"/>
  <c r="D34" i="1"/>
  <c r="E34" i="1"/>
  <c r="F34" i="1"/>
  <c r="G34" i="1"/>
  <c r="H34" i="1"/>
  <c r="A35" i="1"/>
  <c r="C35" i="1"/>
  <c r="D35" i="1"/>
  <c r="E35" i="1"/>
  <c r="F35" i="1"/>
  <c r="G35" i="1"/>
  <c r="H35" i="1"/>
  <c r="A36" i="1"/>
  <c r="C36" i="1"/>
  <c r="D36" i="1"/>
  <c r="E36" i="1"/>
  <c r="F36" i="1"/>
  <c r="G36" i="1"/>
  <c r="H36" i="1"/>
  <c r="A37" i="1"/>
  <c r="C37" i="1"/>
  <c r="D37" i="1"/>
  <c r="E37" i="1"/>
  <c r="F37" i="1"/>
  <c r="G37" i="1"/>
  <c r="H37" i="1"/>
  <c r="A38" i="1"/>
  <c r="C38" i="1"/>
  <c r="D38" i="1"/>
  <c r="E38" i="1"/>
  <c r="F38" i="1"/>
  <c r="G38" i="1"/>
  <c r="H38" i="1"/>
  <c r="A39" i="1"/>
  <c r="C39" i="1"/>
  <c r="D39" i="1"/>
  <c r="E39" i="1"/>
  <c r="F39" i="1"/>
  <c r="G39" i="1"/>
  <c r="H39" i="1"/>
  <c r="A40" i="1"/>
  <c r="C40" i="1"/>
  <c r="D40" i="1"/>
  <c r="E40" i="1"/>
  <c r="F40" i="1"/>
  <c r="G40" i="1"/>
  <c r="H40" i="1"/>
  <c r="A41" i="1"/>
  <c r="C41" i="1"/>
  <c r="D41" i="1"/>
  <c r="E41" i="1"/>
  <c r="F41" i="1"/>
  <c r="G41" i="1"/>
  <c r="H41" i="1"/>
  <c r="A42" i="1"/>
  <c r="C42" i="1"/>
  <c r="D42" i="1"/>
  <c r="E42" i="1"/>
  <c r="F42" i="1"/>
  <c r="G42" i="1"/>
  <c r="H42" i="1"/>
  <c r="A43" i="1"/>
  <c r="C43" i="1"/>
  <c r="D43" i="1"/>
  <c r="E43" i="1"/>
  <c r="F43" i="1"/>
  <c r="G43" i="1"/>
  <c r="H43" i="1"/>
  <c r="A44" i="1"/>
  <c r="C44" i="1"/>
  <c r="D44" i="1"/>
  <c r="E44" i="1"/>
  <c r="F44" i="1"/>
  <c r="G44" i="1"/>
  <c r="H44" i="1"/>
  <c r="A45" i="1"/>
  <c r="C45" i="1"/>
  <c r="D45" i="1"/>
  <c r="E45" i="1"/>
  <c r="F45" i="1"/>
  <c r="G45" i="1"/>
  <c r="H45" i="1"/>
  <c r="A46" i="1"/>
  <c r="C46" i="1"/>
  <c r="D46" i="1"/>
  <c r="E46" i="1"/>
  <c r="F46" i="1"/>
  <c r="G46" i="1"/>
  <c r="H46" i="1"/>
  <c r="A47" i="1"/>
  <c r="C47" i="1"/>
  <c r="D47" i="1"/>
  <c r="E47" i="1"/>
  <c r="F47" i="1"/>
  <c r="G47" i="1"/>
  <c r="H47" i="1"/>
  <c r="A48" i="1"/>
  <c r="C48" i="1"/>
  <c r="D48" i="1"/>
  <c r="E48" i="1"/>
  <c r="F48" i="1"/>
  <c r="G48" i="1"/>
  <c r="H48" i="1"/>
  <c r="A49" i="1"/>
  <c r="C49" i="1"/>
  <c r="D49" i="1"/>
  <c r="E49" i="1"/>
  <c r="F49" i="1"/>
  <c r="G49" i="1"/>
  <c r="H49" i="1"/>
  <c r="A50" i="1"/>
  <c r="C50" i="1"/>
  <c r="D50" i="1"/>
  <c r="E50" i="1"/>
  <c r="F50" i="1"/>
  <c r="G50" i="1"/>
  <c r="H50" i="1"/>
  <c r="A51" i="1"/>
  <c r="C51" i="1"/>
  <c r="D51" i="1"/>
  <c r="E51" i="1"/>
  <c r="F51" i="1"/>
  <c r="G51" i="1"/>
  <c r="H51" i="1"/>
  <c r="A52" i="1"/>
  <c r="C52" i="1"/>
  <c r="D52" i="1"/>
  <c r="E52" i="1"/>
  <c r="F52" i="1"/>
  <c r="G52" i="1"/>
  <c r="H52" i="1"/>
  <c r="A53" i="1"/>
  <c r="C53" i="1"/>
  <c r="D53" i="1"/>
  <c r="E53" i="1"/>
  <c r="F53" i="1"/>
  <c r="G53" i="1"/>
  <c r="H53" i="1"/>
  <c r="A54" i="1"/>
  <c r="C54" i="1"/>
  <c r="D54" i="1"/>
  <c r="E54" i="1"/>
  <c r="F54" i="1"/>
  <c r="G54" i="1"/>
  <c r="H54" i="1"/>
  <c r="A55" i="1"/>
  <c r="C55" i="1"/>
  <c r="D55" i="1"/>
  <c r="E55" i="1"/>
  <c r="F55" i="1"/>
  <c r="G55" i="1"/>
  <c r="H55" i="1"/>
  <c r="A56" i="1"/>
  <c r="C56" i="1"/>
  <c r="D56" i="1"/>
  <c r="E56" i="1"/>
  <c r="F56" i="1"/>
  <c r="G56" i="1"/>
  <c r="H56" i="1"/>
  <c r="A57" i="1"/>
  <c r="C57" i="1"/>
  <c r="D57" i="1"/>
  <c r="E57" i="1"/>
  <c r="F57" i="1"/>
  <c r="G57" i="1"/>
  <c r="H57" i="1"/>
  <c r="A58" i="1"/>
  <c r="C58" i="1"/>
  <c r="D58" i="1"/>
  <c r="E58" i="1"/>
  <c r="F58" i="1"/>
  <c r="G58" i="1"/>
  <c r="H58" i="1"/>
  <c r="A59" i="1"/>
  <c r="C59" i="1"/>
  <c r="D59" i="1"/>
  <c r="E59" i="1"/>
  <c r="F59" i="1"/>
  <c r="G59" i="1"/>
  <c r="H59" i="1"/>
  <c r="A60" i="1"/>
  <c r="C60" i="1"/>
  <c r="D60" i="1"/>
  <c r="E60" i="1"/>
  <c r="F60" i="1"/>
  <c r="G60" i="1"/>
  <c r="H60" i="1"/>
  <c r="A62" i="1"/>
  <c r="B62" i="1"/>
  <c r="C62" i="1"/>
  <c r="D62" i="1"/>
  <c r="E62" i="1"/>
  <c r="F62" i="1"/>
  <c r="G62" i="1"/>
  <c r="H62" i="1"/>
</calcChain>
</file>

<file path=xl/sharedStrings.xml><?xml version="1.0" encoding="utf-8"?>
<sst xmlns="http://schemas.openxmlformats.org/spreadsheetml/2006/main" count="36" uniqueCount="26">
  <si>
    <t>Balloon Gore Layout</t>
  </si>
  <si>
    <t>VOLUME</t>
  </si>
  <si>
    <t>Cubic Feet</t>
  </si>
  <si>
    <t>Gore Length</t>
  </si>
  <si>
    <t>SEAM ALLOWANCE</t>
  </si>
  <si>
    <t>Inches</t>
  </si>
  <si>
    <t>Feet</t>
  </si>
  <si>
    <t>NUMBER OF GORES</t>
  </si>
  <si>
    <t>Two half gores make a gore</t>
  </si>
  <si>
    <t>Radius</t>
  </si>
  <si>
    <t>Gore</t>
  </si>
  <si>
    <t>Circum-</t>
  </si>
  <si>
    <t>Sewn Half</t>
  </si>
  <si>
    <t>Cut Half</t>
  </si>
  <si>
    <t>s</t>
  </si>
  <si>
    <t>r</t>
  </si>
  <si>
    <t>Station</t>
  </si>
  <si>
    <t>ference</t>
  </si>
  <si>
    <t>Test totals</t>
  </si>
  <si>
    <t>Diameter</t>
  </si>
  <si>
    <t>Refer to Balloon Builders Journal, Issues 1 and 22 for instructions</t>
  </si>
  <si>
    <t>Mouth</t>
  </si>
  <si>
    <t>Equator</t>
  </si>
  <si>
    <t>Vent Openig</t>
  </si>
  <si>
    <t>Parachute Over lap</t>
  </si>
  <si>
    <t>Chute 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</si>
</sst>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0"/>
      <name val="Arial"/>
    </font>
    <font>
      <b/>
      <sz val="10"/>
      <name val="Helv"/>
    </font>
    <font>
      <sz val="10"/>
      <name val="Helv"/>
    </font>
    <font>
      <b/>
      <sz val="9"/>
      <name val="Helv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left"/>
    </xf>
    <xf numFmtId="2" fontId="2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/>
    <xf numFmtId="164" fontId="0" fillId="0" borderId="0" xfId="0" applyNumberFormat="1"/>
    <xf numFmtId="2" fontId="5" fillId="0" borderId="0" xfId="0" applyNumberFormat="1" applyFont="1"/>
    <xf numFmtId="2" fontId="2" fillId="2" borderId="0" xfId="0" applyNumberFormat="1" applyFont="1" applyFill="1" applyBorder="1" applyAlignment="1">
      <alignment horizontal="right"/>
    </xf>
    <xf numFmtId="164" fontId="2" fillId="2" borderId="0" xfId="0" applyNumberFormat="1" applyFont="1" applyFill="1" applyBorder="1"/>
    <xf numFmtId="2" fontId="0" fillId="2" borderId="0" xfId="0" applyNumberFormat="1" applyFill="1"/>
    <xf numFmtId="2" fontId="6" fillId="0" borderId="0" xfId="0" applyNumberFormat="1" applyFont="1"/>
    <xf numFmtId="2" fontId="1" fillId="2" borderId="0" xfId="0" applyNumberFormat="1" applyFont="1" applyFill="1" applyBorder="1" applyAlignment="1">
      <alignment horizontal="right"/>
    </xf>
    <xf numFmtId="164" fontId="1" fillId="2" borderId="0" xfId="0" applyNumberFormat="1" applyFont="1" applyFill="1" applyBorder="1"/>
    <xf numFmtId="2" fontId="4" fillId="2" borderId="0" xfId="0" applyNumberFormat="1" applyFont="1" applyFill="1"/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4664-3B92-4317-8508-953C7A792968}">
  <dimension ref="A1:I62"/>
  <sheetViews>
    <sheetView tabSelected="1" workbookViewId="0">
      <selection activeCell="C4" sqref="C4"/>
    </sheetView>
  </sheetViews>
  <sheetFormatPr defaultColWidth="9.21875" defaultRowHeight="13.2" x14ac:dyDescent="0.25"/>
  <cols>
    <col min="1" max="3" width="9.21875" style="1"/>
    <col min="4" max="5" width="10.77734375" style="1" customWidth="1"/>
    <col min="6" max="6" width="14.5546875" style="1" customWidth="1"/>
    <col min="7" max="8" width="10.77734375" style="1" customWidth="1"/>
    <col min="9" max="16384" width="9.21875" style="1"/>
  </cols>
  <sheetData>
    <row r="1" spans="1:9" x14ac:dyDescent="0.25">
      <c r="A1" s="2" t="s">
        <v>0</v>
      </c>
      <c r="B1" s="3"/>
      <c r="C1" s="3"/>
      <c r="D1" s="3"/>
      <c r="E1" s="2" t="s">
        <v>20</v>
      </c>
      <c r="F1" s="3"/>
      <c r="G1" s="3"/>
      <c r="H1" s="3"/>
    </row>
    <row r="2" spans="1:9" x14ac:dyDescent="0.25">
      <c r="A2" s="3"/>
      <c r="B2" s="3"/>
      <c r="C2" s="3"/>
      <c r="D2" s="3"/>
      <c r="E2" s="3"/>
      <c r="F2" s="3"/>
      <c r="G2" s="3"/>
      <c r="H2" s="3"/>
    </row>
    <row r="3" spans="1:9" x14ac:dyDescent="0.25">
      <c r="A3" s="9" t="s">
        <v>1</v>
      </c>
      <c r="B3" s="4"/>
      <c r="C3" s="5">
        <v>92000</v>
      </c>
      <c r="D3" s="6" t="s">
        <v>2</v>
      </c>
      <c r="E3" s="6"/>
      <c r="F3" s="3"/>
      <c r="G3" s="3" t="s">
        <v>3</v>
      </c>
    </row>
    <row r="4" spans="1:9" x14ac:dyDescent="0.25">
      <c r="A4" s="9" t="s">
        <v>4</v>
      </c>
      <c r="B4" s="4"/>
      <c r="C4" s="4">
        <v>1</v>
      </c>
      <c r="D4" s="6" t="s">
        <v>5</v>
      </c>
      <c r="E4" s="6"/>
      <c r="F4" s="3"/>
      <c r="G4" s="3">
        <f>(C3/0.12586)^(1/3)</f>
        <v>90.081034837188668</v>
      </c>
      <c r="H4" s="6" t="s">
        <v>6</v>
      </c>
    </row>
    <row r="5" spans="1:9" x14ac:dyDescent="0.25">
      <c r="A5" s="9" t="s">
        <v>7</v>
      </c>
      <c r="B5" s="4"/>
      <c r="C5" s="5">
        <v>20</v>
      </c>
      <c r="D5" s="6" t="s">
        <v>8</v>
      </c>
      <c r="E5" s="6"/>
      <c r="F5" s="3"/>
      <c r="G5" s="3"/>
      <c r="H5" s="3"/>
    </row>
    <row r="6" spans="1:9" x14ac:dyDescent="0.25">
      <c r="A6" s="3"/>
      <c r="B6" s="3"/>
      <c r="C6" s="3"/>
      <c r="D6" s="3"/>
      <c r="E6" s="3"/>
      <c r="F6" s="3"/>
      <c r="G6" s="3"/>
      <c r="H6" s="3"/>
    </row>
    <row r="7" spans="1:9" x14ac:dyDescent="0.25">
      <c r="A7" s="7" t="s">
        <v>16</v>
      </c>
      <c r="B7" s="7" t="s">
        <v>9</v>
      </c>
      <c r="C7" s="7" t="s">
        <v>10</v>
      </c>
      <c r="D7" s="7"/>
      <c r="F7" s="7" t="s">
        <v>11</v>
      </c>
      <c r="G7" s="7" t="s">
        <v>12</v>
      </c>
      <c r="H7" s="7" t="s">
        <v>13</v>
      </c>
    </row>
    <row r="8" spans="1:9" x14ac:dyDescent="0.25">
      <c r="A8" s="7" t="s">
        <v>14</v>
      </c>
      <c r="B8" s="8" t="s">
        <v>15</v>
      </c>
      <c r="C8" s="7" t="s">
        <v>16</v>
      </c>
      <c r="D8" s="7" t="s">
        <v>9</v>
      </c>
      <c r="E8" s="7" t="s">
        <v>19</v>
      </c>
      <c r="F8" s="7" t="s">
        <v>17</v>
      </c>
      <c r="G8" s="7" t="s">
        <v>10</v>
      </c>
      <c r="H8" s="7" t="s">
        <v>10</v>
      </c>
    </row>
    <row r="9" spans="1:9" x14ac:dyDescent="0.25">
      <c r="A9" s="3"/>
      <c r="B9" s="7"/>
      <c r="C9" s="7" t="s">
        <v>6</v>
      </c>
      <c r="D9" s="7" t="s">
        <v>6</v>
      </c>
      <c r="E9" s="7" t="s">
        <v>6</v>
      </c>
      <c r="F9" s="7" t="s">
        <v>5</v>
      </c>
      <c r="G9" s="7" t="s">
        <v>5</v>
      </c>
      <c r="H9" s="7" t="s">
        <v>5</v>
      </c>
    </row>
    <row r="10" spans="1:9" x14ac:dyDescent="0.25">
      <c r="A10" s="3">
        <v>1</v>
      </c>
      <c r="B10" s="10">
        <v>0</v>
      </c>
      <c r="C10" s="1">
        <f t="shared" ref="C10:C41" si="0">$G$4*A10</f>
        <v>90.081034837188668</v>
      </c>
      <c r="D10" s="1">
        <f t="shared" ref="D10:D41" si="1">$G$4*B10</f>
        <v>0</v>
      </c>
      <c r="E10" s="1">
        <f>D10*2</f>
        <v>0</v>
      </c>
      <c r="F10" s="1">
        <f>D10*3.1416*2*12</f>
        <v>0</v>
      </c>
      <c r="G10" s="1">
        <f>F10/(2*$C$5)</f>
        <v>0</v>
      </c>
      <c r="H10" s="1">
        <f>G10+$C$4+$C$4</f>
        <v>2</v>
      </c>
    </row>
    <row r="11" spans="1:9" x14ac:dyDescent="0.25">
      <c r="A11" s="3">
        <f t="shared" ref="A11:A60" si="2">A10-0.02</f>
        <v>0.98</v>
      </c>
      <c r="B11" s="10">
        <v>0.02</v>
      </c>
      <c r="C11" s="1">
        <f t="shared" si="0"/>
        <v>88.279414140444899</v>
      </c>
      <c r="D11" s="1">
        <f t="shared" si="1"/>
        <v>1.8016206967437733</v>
      </c>
      <c r="E11" s="1">
        <f t="shared" ref="E11:E60" si="3">D11*2</f>
        <v>3.6032413934875467</v>
      </c>
      <c r="F11" s="1">
        <f t="shared" ref="F11:F60" si="4">D11*3.1416*2*12</f>
        <v>135.83931794136572</v>
      </c>
      <c r="G11" s="1">
        <f t="shared" ref="G11:G60" si="5">F11/(2*$C$5)</f>
        <v>3.3959829485341428</v>
      </c>
      <c r="H11" s="1">
        <f t="shared" ref="H11:H60" si="6">G11+$C$4+$C$4</f>
        <v>5.3959829485341428</v>
      </c>
    </row>
    <row r="12" spans="1:9" x14ac:dyDescent="0.25">
      <c r="A12" s="3">
        <f t="shared" si="2"/>
        <v>0.96</v>
      </c>
      <c r="B12" s="10">
        <v>0.04</v>
      </c>
      <c r="C12" s="1">
        <f t="shared" si="0"/>
        <v>86.477793443701117</v>
      </c>
      <c r="D12" s="1">
        <f t="shared" si="1"/>
        <v>3.6032413934875467</v>
      </c>
      <c r="E12" s="1">
        <f t="shared" si="3"/>
        <v>7.2064827869750934</v>
      </c>
      <c r="F12" s="1">
        <f t="shared" si="4"/>
        <v>271.67863588273144</v>
      </c>
      <c r="G12" s="1">
        <f t="shared" si="5"/>
        <v>6.7919658970682857</v>
      </c>
      <c r="H12" s="1">
        <f t="shared" si="6"/>
        <v>8.7919658970682857</v>
      </c>
    </row>
    <row r="13" spans="1:9" x14ac:dyDescent="0.25">
      <c r="A13" s="3">
        <f t="shared" si="2"/>
        <v>0.94</v>
      </c>
      <c r="B13" s="10">
        <v>5.9990000000000002E-2</v>
      </c>
      <c r="C13" s="1">
        <f t="shared" si="0"/>
        <v>84.676172746957349</v>
      </c>
      <c r="D13" s="1">
        <f t="shared" si="1"/>
        <v>5.4039612798829486</v>
      </c>
      <c r="E13" s="1">
        <f t="shared" si="3"/>
        <v>10.807922559765897</v>
      </c>
      <c r="F13" s="1">
        <f t="shared" si="4"/>
        <v>407.45003416512645</v>
      </c>
      <c r="G13" s="1">
        <f t="shared" si="5"/>
        <v>10.186250854128161</v>
      </c>
      <c r="H13" s="1">
        <f t="shared" si="6"/>
        <v>12.186250854128161</v>
      </c>
    </row>
    <row r="14" spans="1:9" x14ac:dyDescent="0.25">
      <c r="A14" s="3">
        <f t="shared" si="2"/>
        <v>0.91999999999999993</v>
      </c>
      <c r="B14" s="10">
        <v>7.9969999999999999E-2</v>
      </c>
      <c r="C14" s="1">
        <f t="shared" si="0"/>
        <v>82.874552050213566</v>
      </c>
      <c r="D14" s="1">
        <f t="shared" si="1"/>
        <v>7.203780355929978</v>
      </c>
      <c r="E14" s="1">
        <f t="shared" si="3"/>
        <v>14.407560711859956</v>
      </c>
      <c r="F14" s="1">
        <f t="shared" si="4"/>
        <v>543.15351278855087</v>
      </c>
      <c r="G14" s="1">
        <f t="shared" si="5"/>
        <v>13.578837819713772</v>
      </c>
      <c r="H14" s="1">
        <f t="shared" si="6"/>
        <v>15.578837819713772</v>
      </c>
    </row>
    <row r="15" spans="1:9" x14ac:dyDescent="0.25">
      <c r="A15" s="14">
        <f t="shared" si="2"/>
        <v>0.89999999999999991</v>
      </c>
      <c r="B15" s="15">
        <v>9.9890000000000007E-2</v>
      </c>
      <c r="C15" s="16">
        <f t="shared" si="0"/>
        <v>81.072931353469798</v>
      </c>
      <c r="D15" s="16">
        <f t="shared" si="1"/>
        <v>8.9981945698867758</v>
      </c>
      <c r="E15" s="16">
        <f t="shared" si="3"/>
        <v>17.996389139773552</v>
      </c>
      <c r="F15" s="16">
        <f t="shared" si="4"/>
        <v>678.44947345815103</v>
      </c>
      <c r="G15" s="16">
        <f t="shared" si="5"/>
        <v>16.961236836453775</v>
      </c>
      <c r="H15" s="16">
        <f t="shared" si="6"/>
        <v>18.961236836453775</v>
      </c>
      <c r="I15" s="17" t="s">
        <v>23</v>
      </c>
    </row>
    <row r="16" spans="1:9" x14ac:dyDescent="0.25">
      <c r="A16" s="3">
        <f t="shared" si="2"/>
        <v>0.87999999999999989</v>
      </c>
      <c r="B16" s="11">
        <v>0.11974</v>
      </c>
      <c r="C16" s="1">
        <f t="shared" si="0"/>
        <v>79.271310656726016</v>
      </c>
      <c r="D16" s="1">
        <f t="shared" si="1"/>
        <v>10.786303111404971</v>
      </c>
      <c r="E16" s="1">
        <f t="shared" si="3"/>
        <v>21.572606222809942</v>
      </c>
      <c r="F16" s="1">
        <f t="shared" si="4"/>
        <v>813.26999651495646</v>
      </c>
      <c r="G16" s="1">
        <f t="shared" si="5"/>
        <v>20.33174991287391</v>
      </c>
      <c r="H16" s="1">
        <f t="shared" si="6"/>
        <v>22.33174991287391</v>
      </c>
      <c r="I16" s="21" t="s">
        <v>24</v>
      </c>
    </row>
    <row r="17" spans="1:9" x14ac:dyDescent="0.25">
      <c r="A17" s="3">
        <f t="shared" si="2"/>
        <v>0.85999999999999988</v>
      </c>
      <c r="B17" s="11">
        <v>0.13944000000000001</v>
      </c>
      <c r="C17" s="1">
        <f t="shared" si="0"/>
        <v>77.469689959982247</v>
      </c>
      <c r="D17" s="1">
        <f t="shared" si="1"/>
        <v>12.560899497697589</v>
      </c>
      <c r="E17" s="1">
        <f t="shared" si="3"/>
        <v>25.121798995395178</v>
      </c>
      <c r="F17" s="1">
        <f t="shared" si="4"/>
        <v>947.07172468720182</v>
      </c>
      <c r="G17" s="1">
        <f t="shared" si="5"/>
        <v>23.676793117180047</v>
      </c>
      <c r="H17" s="1">
        <f t="shared" si="6"/>
        <v>25.676793117180047</v>
      </c>
    </row>
    <row r="18" spans="1:9" x14ac:dyDescent="0.25">
      <c r="A18" s="3">
        <f t="shared" si="2"/>
        <v>0.83999999999999986</v>
      </c>
      <c r="B18" s="11">
        <v>0.15891</v>
      </c>
      <c r="C18" s="1">
        <f t="shared" si="0"/>
        <v>75.668069263238465</v>
      </c>
      <c r="D18" s="1">
        <f t="shared" si="1"/>
        <v>14.31477724597765</v>
      </c>
      <c r="E18" s="1">
        <f t="shared" si="3"/>
        <v>28.6295544919553</v>
      </c>
      <c r="F18" s="1">
        <f t="shared" si="4"/>
        <v>1079.3113007031211</v>
      </c>
      <c r="G18" s="1">
        <f t="shared" si="5"/>
        <v>26.982782517578027</v>
      </c>
      <c r="H18" s="1">
        <f t="shared" si="6"/>
        <v>28.982782517578027</v>
      </c>
    </row>
    <row r="19" spans="1:9" x14ac:dyDescent="0.25">
      <c r="A19" s="3">
        <f t="shared" si="2"/>
        <v>0.81999999999999984</v>
      </c>
      <c r="B19" s="11">
        <v>0.17805000000000001</v>
      </c>
      <c r="C19" s="1">
        <f t="shared" si="0"/>
        <v>73.866448566494697</v>
      </c>
      <c r="D19" s="1">
        <f t="shared" si="1"/>
        <v>16.038928252761444</v>
      </c>
      <c r="E19" s="1">
        <f t="shared" si="3"/>
        <v>32.077856505522888</v>
      </c>
      <c r="F19" s="1">
        <f t="shared" si="4"/>
        <v>1209.3095279730085</v>
      </c>
      <c r="G19" s="1">
        <f t="shared" si="5"/>
        <v>30.232738199325212</v>
      </c>
      <c r="H19" s="1">
        <f t="shared" si="6"/>
        <v>32.232738199325212</v>
      </c>
    </row>
    <row r="20" spans="1:9" x14ac:dyDescent="0.25">
      <c r="A20" s="3">
        <f t="shared" si="2"/>
        <v>0.79999999999999982</v>
      </c>
      <c r="B20" s="11">
        <v>0.19672999999999999</v>
      </c>
      <c r="C20" s="1">
        <f t="shared" si="0"/>
        <v>72.064827869750914</v>
      </c>
      <c r="D20" s="1">
        <f t="shared" si="1"/>
        <v>17.721641983520126</v>
      </c>
      <c r="E20" s="1">
        <f t="shared" si="3"/>
        <v>35.443283967040252</v>
      </c>
      <c r="F20" s="1">
        <f t="shared" si="4"/>
        <v>1336.1834509302439</v>
      </c>
      <c r="G20" s="1">
        <f t="shared" si="5"/>
        <v>33.404586273256101</v>
      </c>
      <c r="H20" s="1">
        <f t="shared" si="6"/>
        <v>35.404586273256101</v>
      </c>
    </row>
    <row r="21" spans="1:9" x14ac:dyDescent="0.25">
      <c r="A21" s="3">
        <f t="shared" si="2"/>
        <v>0.7799999999999998</v>
      </c>
      <c r="B21" s="11">
        <v>0.21479999999999999</v>
      </c>
      <c r="C21" s="1">
        <f t="shared" si="0"/>
        <v>70.263207173007146</v>
      </c>
      <c r="D21" s="1">
        <f t="shared" si="1"/>
        <v>19.349406283028124</v>
      </c>
      <c r="E21" s="1">
        <f t="shared" si="3"/>
        <v>38.698812566056247</v>
      </c>
      <c r="F21" s="1">
        <f t="shared" si="4"/>
        <v>1458.9142746902676</v>
      </c>
      <c r="G21" s="1">
        <f t="shared" si="5"/>
        <v>36.472856867256688</v>
      </c>
      <c r="H21" s="1">
        <f t="shared" si="6"/>
        <v>38.472856867256688</v>
      </c>
    </row>
    <row r="22" spans="1:9" x14ac:dyDescent="0.25">
      <c r="A22" s="3">
        <f t="shared" si="2"/>
        <v>0.75999999999999979</v>
      </c>
      <c r="B22" s="11">
        <v>0.2321</v>
      </c>
      <c r="C22" s="1">
        <f t="shared" si="0"/>
        <v>68.461586476263363</v>
      </c>
      <c r="D22" s="1">
        <f t="shared" si="1"/>
        <v>20.907808185711488</v>
      </c>
      <c r="E22" s="1">
        <f t="shared" si="3"/>
        <v>41.815616371422976</v>
      </c>
      <c r="F22" s="1">
        <f t="shared" si="4"/>
        <v>1576.4152847095493</v>
      </c>
      <c r="G22" s="1">
        <f t="shared" si="5"/>
        <v>39.410382117738735</v>
      </c>
      <c r="H22" s="1">
        <f t="shared" si="6"/>
        <v>41.410382117738735</v>
      </c>
      <c r="I22" s="21" t="s">
        <v>25</v>
      </c>
    </row>
    <row r="23" spans="1:9" x14ac:dyDescent="0.25">
      <c r="A23" s="3">
        <f t="shared" si="2"/>
        <v>0.73999999999999977</v>
      </c>
      <c r="B23" s="11">
        <v>0.24843999999999999</v>
      </c>
      <c r="C23" s="1">
        <f t="shared" si="0"/>
        <v>66.659965779519595</v>
      </c>
      <c r="D23" s="1">
        <f t="shared" si="1"/>
        <v>22.37973229495115</v>
      </c>
      <c r="E23" s="1">
        <f t="shared" si="3"/>
        <v>44.759464589902301</v>
      </c>
      <c r="F23" s="1">
        <f t="shared" si="4"/>
        <v>1687.3960074676447</v>
      </c>
      <c r="G23" s="1">
        <f t="shared" si="5"/>
        <v>42.184900186691117</v>
      </c>
      <c r="H23" s="1">
        <f t="shared" si="6"/>
        <v>44.184900186691117</v>
      </c>
    </row>
    <row r="24" spans="1:9" x14ac:dyDescent="0.25">
      <c r="A24" s="3">
        <f t="shared" si="2"/>
        <v>0.71999999999999975</v>
      </c>
      <c r="B24" s="11">
        <v>0.26363999999999999</v>
      </c>
      <c r="C24" s="1">
        <f t="shared" si="0"/>
        <v>64.858345082775813</v>
      </c>
      <c r="D24" s="1">
        <f t="shared" si="1"/>
        <v>23.748964024476418</v>
      </c>
      <c r="E24" s="1">
        <f t="shared" si="3"/>
        <v>47.497928048952836</v>
      </c>
      <c r="F24" s="1">
        <f t="shared" si="4"/>
        <v>1790.6338891030828</v>
      </c>
      <c r="G24" s="1">
        <f t="shared" si="5"/>
        <v>44.765847227577069</v>
      </c>
      <c r="H24" s="1">
        <f t="shared" si="6"/>
        <v>46.765847227577069</v>
      </c>
    </row>
    <row r="25" spans="1:9" x14ac:dyDescent="0.25">
      <c r="A25" s="3">
        <f t="shared" si="2"/>
        <v>0.69999999999999973</v>
      </c>
      <c r="B25" s="11">
        <v>0.27750999999999998</v>
      </c>
      <c r="C25" s="1">
        <f t="shared" si="0"/>
        <v>63.056724386032045</v>
      </c>
      <c r="D25" s="1">
        <f t="shared" si="1"/>
        <v>24.998387977668227</v>
      </c>
      <c r="E25" s="1">
        <f t="shared" si="3"/>
        <v>49.996775955336453</v>
      </c>
      <c r="F25" s="1">
        <f t="shared" si="4"/>
        <v>1884.83845609542</v>
      </c>
      <c r="G25" s="1">
        <f t="shared" si="5"/>
        <v>47.120961402385504</v>
      </c>
      <c r="H25" s="1">
        <f t="shared" si="6"/>
        <v>49.120961402385504</v>
      </c>
    </row>
    <row r="26" spans="1:9" x14ac:dyDescent="0.25">
      <c r="A26" s="3">
        <f t="shared" si="2"/>
        <v>0.67999999999999972</v>
      </c>
      <c r="B26" s="11">
        <v>0.28988999999999998</v>
      </c>
      <c r="C26" s="1">
        <f t="shared" si="0"/>
        <v>61.255103689288269</v>
      </c>
      <c r="D26" s="1">
        <f t="shared" si="1"/>
        <v>26.113591188952622</v>
      </c>
      <c r="E26" s="1">
        <f t="shared" si="3"/>
        <v>52.227182377905244</v>
      </c>
      <c r="F26" s="1">
        <f t="shared" si="4"/>
        <v>1968.9229939011252</v>
      </c>
      <c r="G26" s="1">
        <f t="shared" si="5"/>
        <v>49.223074847528132</v>
      </c>
      <c r="H26" s="1">
        <f t="shared" si="6"/>
        <v>51.223074847528132</v>
      </c>
    </row>
    <row r="27" spans="1:9" x14ac:dyDescent="0.25">
      <c r="A27" s="3">
        <f t="shared" si="2"/>
        <v>0.6599999999999997</v>
      </c>
      <c r="B27" s="11">
        <v>0.30064000000000002</v>
      </c>
      <c r="C27" s="1">
        <f t="shared" si="0"/>
        <v>59.453482992544494</v>
      </c>
      <c r="D27" s="1">
        <f t="shared" si="1"/>
        <v>27.081962313452404</v>
      </c>
      <c r="E27" s="1">
        <f t="shared" si="3"/>
        <v>54.163924626904809</v>
      </c>
      <c r="F27" s="1">
        <f t="shared" si="4"/>
        <v>2041.9366272946097</v>
      </c>
      <c r="G27" s="1">
        <f t="shared" si="5"/>
        <v>51.048415682365246</v>
      </c>
      <c r="H27" s="1">
        <f t="shared" si="6"/>
        <v>53.048415682365246</v>
      </c>
    </row>
    <row r="28" spans="1:9" x14ac:dyDescent="0.25">
      <c r="A28" s="3">
        <f t="shared" si="2"/>
        <v>0.63999999999999968</v>
      </c>
      <c r="B28" s="11">
        <v>0.30962000000000001</v>
      </c>
      <c r="C28" s="1">
        <f t="shared" si="0"/>
        <v>57.651862295800719</v>
      </c>
      <c r="D28" s="1">
        <f t="shared" si="1"/>
        <v>27.890890006290356</v>
      </c>
      <c r="E28" s="1">
        <f t="shared" si="3"/>
        <v>55.781780012580711</v>
      </c>
      <c r="F28" s="1">
        <f t="shared" si="4"/>
        <v>2102.9284810502827</v>
      </c>
      <c r="G28" s="1">
        <f t="shared" si="5"/>
        <v>52.573212026257067</v>
      </c>
      <c r="H28" s="1">
        <f t="shared" si="6"/>
        <v>54.573212026257067</v>
      </c>
    </row>
    <row r="29" spans="1:9" x14ac:dyDescent="0.25">
      <c r="A29" s="3">
        <f t="shared" si="2"/>
        <v>0.61999999999999966</v>
      </c>
      <c r="B29" s="11">
        <v>0.31677</v>
      </c>
      <c r="C29" s="1">
        <f t="shared" si="0"/>
        <v>55.850241599056943</v>
      </c>
      <c r="D29" s="1">
        <f t="shared" si="1"/>
        <v>28.534969405376255</v>
      </c>
      <c r="E29" s="1">
        <f t="shared" si="3"/>
        <v>57.069938810752511</v>
      </c>
      <c r="F29" s="1">
        <f t="shared" si="4"/>
        <v>2151.4910372143213</v>
      </c>
      <c r="G29" s="1">
        <f t="shared" si="5"/>
        <v>53.787275930358035</v>
      </c>
      <c r="H29" s="1">
        <f t="shared" si="6"/>
        <v>55.787275930358035</v>
      </c>
    </row>
    <row r="30" spans="1:9" x14ac:dyDescent="0.25">
      <c r="A30" s="3">
        <f t="shared" si="2"/>
        <v>0.59999999999999964</v>
      </c>
      <c r="B30" s="11">
        <v>0.32202999999999998</v>
      </c>
      <c r="C30" s="1">
        <f t="shared" si="0"/>
        <v>54.048620902313168</v>
      </c>
      <c r="D30" s="1">
        <f t="shared" si="1"/>
        <v>29.008795648619866</v>
      </c>
      <c r="E30" s="1">
        <f t="shared" si="3"/>
        <v>58.017591297239733</v>
      </c>
      <c r="F30" s="1">
        <f t="shared" si="4"/>
        <v>2187.2167778329003</v>
      </c>
      <c r="G30" s="1">
        <f t="shared" si="5"/>
        <v>54.680419445822508</v>
      </c>
      <c r="H30" s="1">
        <f t="shared" si="6"/>
        <v>56.680419445822508</v>
      </c>
    </row>
    <row r="31" spans="1:9" x14ac:dyDescent="0.25">
      <c r="A31" s="3">
        <f t="shared" si="2"/>
        <v>0.57999999999999963</v>
      </c>
      <c r="B31" s="11">
        <v>0.32540000000000002</v>
      </c>
      <c r="C31" s="13">
        <f t="shared" si="0"/>
        <v>52.247000205569393</v>
      </c>
      <c r="D31" s="13">
        <f t="shared" si="1"/>
        <v>29.312368736021195</v>
      </c>
      <c r="E31" s="13">
        <f t="shared" si="3"/>
        <v>58.624737472042391</v>
      </c>
      <c r="F31" s="13">
        <f t="shared" si="4"/>
        <v>2210.1057029060203</v>
      </c>
      <c r="G31" s="13">
        <f t="shared" si="5"/>
        <v>55.252642572650508</v>
      </c>
      <c r="H31" s="13">
        <f t="shared" si="6"/>
        <v>57.252642572650508</v>
      </c>
    </row>
    <row r="32" spans="1:9" x14ac:dyDescent="0.25">
      <c r="A32" s="18">
        <f t="shared" si="2"/>
        <v>0.55999999999999961</v>
      </c>
      <c r="B32" s="19">
        <v>0.32690999999999998</v>
      </c>
      <c r="C32" s="20">
        <f t="shared" si="0"/>
        <v>50.445379508825617</v>
      </c>
      <c r="D32" s="20">
        <f t="shared" si="1"/>
        <v>29.448391098625347</v>
      </c>
      <c r="E32" s="20">
        <f t="shared" si="3"/>
        <v>58.896782197250694</v>
      </c>
      <c r="F32" s="20">
        <f t="shared" si="4"/>
        <v>2220.3615714105936</v>
      </c>
      <c r="G32" s="20">
        <f t="shared" si="5"/>
        <v>55.509039285264841</v>
      </c>
      <c r="H32" s="20">
        <f t="shared" si="6"/>
        <v>57.509039285264841</v>
      </c>
      <c r="I32" s="16" t="s">
        <v>22</v>
      </c>
    </row>
    <row r="33" spans="1:8" x14ac:dyDescent="0.25">
      <c r="A33" s="3">
        <f t="shared" si="2"/>
        <v>0.53999999999999959</v>
      </c>
      <c r="B33" s="11">
        <v>0.32662000000000002</v>
      </c>
      <c r="C33" s="1">
        <f t="shared" si="0"/>
        <v>48.643758812081842</v>
      </c>
      <c r="D33" s="1">
        <f t="shared" si="1"/>
        <v>29.422267598522563</v>
      </c>
      <c r="E33" s="1">
        <f t="shared" si="3"/>
        <v>58.844535197045126</v>
      </c>
      <c r="F33" s="1">
        <f t="shared" si="4"/>
        <v>2218.3919013004438</v>
      </c>
      <c r="G33" s="1">
        <f t="shared" si="5"/>
        <v>55.459797532511097</v>
      </c>
      <c r="H33" s="1">
        <f t="shared" si="6"/>
        <v>57.459797532511097</v>
      </c>
    </row>
    <row r="34" spans="1:8" x14ac:dyDescent="0.25">
      <c r="A34" s="3">
        <f t="shared" si="2"/>
        <v>0.51999999999999957</v>
      </c>
      <c r="B34" s="11">
        <v>0.32461000000000001</v>
      </c>
      <c r="C34" s="1">
        <f t="shared" si="0"/>
        <v>46.842138115338066</v>
      </c>
      <c r="D34" s="1">
        <f t="shared" si="1"/>
        <v>29.241204718499816</v>
      </c>
      <c r="E34" s="1">
        <f t="shared" si="3"/>
        <v>58.482409436999632</v>
      </c>
      <c r="F34" s="1">
        <f t="shared" si="4"/>
        <v>2204.7400498473362</v>
      </c>
      <c r="G34" s="1">
        <f t="shared" si="5"/>
        <v>55.118501246183406</v>
      </c>
      <c r="H34" s="1">
        <f t="shared" si="6"/>
        <v>57.118501246183406</v>
      </c>
    </row>
    <row r="35" spans="1:8" x14ac:dyDescent="0.25">
      <c r="A35" s="3">
        <f t="shared" si="2"/>
        <v>0.49999999999999956</v>
      </c>
      <c r="B35" s="11">
        <v>0.32100000000000001</v>
      </c>
      <c r="C35" s="1">
        <f t="shared" si="0"/>
        <v>45.040517418594291</v>
      </c>
      <c r="D35" s="1">
        <f t="shared" si="1"/>
        <v>28.916012182737564</v>
      </c>
      <c r="E35" s="1">
        <f t="shared" si="3"/>
        <v>57.832024365475128</v>
      </c>
      <c r="F35" s="1">
        <f t="shared" si="4"/>
        <v>2180.2210529589202</v>
      </c>
      <c r="G35" s="1">
        <f t="shared" si="5"/>
        <v>54.505526323973001</v>
      </c>
      <c r="H35" s="1">
        <f t="shared" si="6"/>
        <v>56.505526323973001</v>
      </c>
    </row>
    <row r="36" spans="1:8" x14ac:dyDescent="0.25">
      <c r="A36" s="3">
        <f t="shared" si="2"/>
        <v>0.47999999999999954</v>
      </c>
      <c r="B36" s="11">
        <v>0.31591000000000002</v>
      </c>
      <c r="C36" s="1">
        <f t="shared" si="0"/>
        <v>43.238896721850516</v>
      </c>
      <c r="D36" s="1">
        <f t="shared" si="1"/>
        <v>28.457499715416276</v>
      </c>
      <c r="E36" s="1">
        <f t="shared" si="3"/>
        <v>56.914999430832552</v>
      </c>
      <c r="F36" s="1">
        <f t="shared" si="4"/>
        <v>2145.6499465428424</v>
      </c>
      <c r="G36" s="1">
        <f t="shared" si="5"/>
        <v>53.641248663571062</v>
      </c>
      <c r="H36" s="1">
        <f t="shared" si="6"/>
        <v>55.641248663571062</v>
      </c>
    </row>
    <row r="37" spans="1:8" x14ac:dyDescent="0.25">
      <c r="A37" s="3">
        <f t="shared" si="2"/>
        <v>0.45999999999999952</v>
      </c>
      <c r="B37" s="11">
        <v>0.30945</v>
      </c>
      <c r="C37" s="1">
        <f t="shared" si="0"/>
        <v>41.43727602510674</v>
      </c>
      <c r="D37" s="1">
        <f t="shared" si="1"/>
        <v>27.875576230368033</v>
      </c>
      <c r="E37" s="1">
        <f t="shared" si="3"/>
        <v>55.751152460736066</v>
      </c>
      <c r="F37" s="1">
        <f t="shared" si="4"/>
        <v>2101.773846847781</v>
      </c>
      <c r="G37" s="1">
        <f t="shared" si="5"/>
        <v>52.544346171194526</v>
      </c>
      <c r="H37" s="1">
        <f t="shared" si="6"/>
        <v>54.544346171194526</v>
      </c>
    </row>
    <row r="38" spans="1:8" x14ac:dyDescent="0.25">
      <c r="A38" s="3">
        <f t="shared" si="2"/>
        <v>0.4399999999999995</v>
      </c>
      <c r="B38" s="11">
        <v>0.30175000000000002</v>
      </c>
      <c r="C38" s="1">
        <f t="shared" si="0"/>
        <v>39.635655328362972</v>
      </c>
      <c r="D38" s="1">
        <f t="shared" si="1"/>
        <v>27.181952262121683</v>
      </c>
      <c r="E38" s="1">
        <f t="shared" si="3"/>
        <v>54.363904524243367</v>
      </c>
      <c r="F38" s="1">
        <f t="shared" si="4"/>
        <v>2049.4757094403553</v>
      </c>
      <c r="G38" s="1">
        <f t="shared" si="5"/>
        <v>51.236892736008883</v>
      </c>
      <c r="H38" s="1">
        <f t="shared" si="6"/>
        <v>53.236892736008883</v>
      </c>
    </row>
    <row r="39" spans="1:8" x14ac:dyDescent="0.25">
      <c r="A39" s="3">
        <f t="shared" si="2"/>
        <v>0.41999999999999948</v>
      </c>
      <c r="B39" s="11">
        <v>0.29294999999999999</v>
      </c>
      <c r="C39" s="1">
        <f t="shared" si="0"/>
        <v>37.834034631619197</v>
      </c>
      <c r="D39" s="1">
        <f t="shared" si="1"/>
        <v>26.389239155554421</v>
      </c>
      <c r="E39" s="1">
        <f t="shared" si="3"/>
        <v>52.778478311108842</v>
      </c>
      <c r="F39" s="1">
        <f t="shared" si="4"/>
        <v>1989.7064095461544</v>
      </c>
      <c r="G39" s="1">
        <f t="shared" si="5"/>
        <v>49.742660238653862</v>
      </c>
      <c r="H39" s="1">
        <f t="shared" si="6"/>
        <v>51.742660238653862</v>
      </c>
    </row>
    <row r="40" spans="1:8" x14ac:dyDescent="0.25">
      <c r="A40" s="3">
        <f t="shared" si="2"/>
        <v>0.39999999999999947</v>
      </c>
      <c r="B40" s="11">
        <v>0.28316000000000002</v>
      </c>
      <c r="C40" s="1">
        <f t="shared" si="0"/>
        <v>36.032413934875422</v>
      </c>
      <c r="D40" s="1">
        <f t="shared" si="1"/>
        <v>25.507345824498344</v>
      </c>
      <c r="E40" s="1">
        <f t="shared" si="3"/>
        <v>51.014691648996688</v>
      </c>
      <c r="F40" s="1">
        <f t="shared" si="4"/>
        <v>1923.2130634138562</v>
      </c>
      <c r="G40" s="1">
        <f t="shared" si="5"/>
        <v>48.080326585346405</v>
      </c>
      <c r="H40" s="1">
        <f t="shared" si="6"/>
        <v>50.080326585346405</v>
      </c>
    </row>
    <row r="41" spans="1:8" x14ac:dyDescent="0.25">
      <c r="A41" s="3">
        <f t="shared" si="2"/>
        <v>0.37999999999999945</v>
      </c>
      <c r="B41" s="11">
        <v>0.27250999999999997</v>
      </c>
      <c r="C41" s="1">
        <f t="shared" si="0"/>
        <v>34.230793238131646</v>
      </c>
      <c r="D41" s="1">
        <f t="shared" si="1"/>
        <v>24.547982803482281</v>
      </c>
      <c r="E41" s="1">
        <f t="shared" si="3"/>
        <v>49.095965606964562</v>
      </c>
      <c r="F41" s="1">
        <f t="shared" si="4"/>
        <v>1850.8786266100783</v>
      </c>
      <c r="G41" s="1">
        <f t="shared" si="5"/>
        <v>46.271965665251955</v>
      </c>
      <c r="H41" s="1">
        <f t="shared" si="6"/>
        <v>48.271965665251955</v>
      </c>
    </row>
    <row r="42" spans="1:8" x14ac:dyDescent="0.25">
      <c r="A42" s="3">
        <f t="shared" si="2"/>
        <v>0.35999999999999943</v>
      </c>
      <c r="B42" s="11">
        <v>0.26108999999999999</v>
      </c>
      <c r="C42" s="1">
        <f t="shared" ref="C42:C60" si="7">$G$4*A42</f>
        <v>32.429172541387871</v>
      </c>
      <c r="D42" s="1">
        <f t="shared" ref="D42:D60" si="8">$G$4*B42</f>
        <v>23.519257385641588</v>
      </c>
      <c r="E42" s="1">
        <f t="shared" si="3"/>
        <v>47.038514771283175</v>
      </c>
      <c r="F42" s="1">
        <f t="shared" si="4"/>
        <v>1773.3143760655585</v>
      </c>
      <c r="G42" s="1">
        <f t="shared" si="5"/>
        <v>44.332859401638963</v>
      </c>
      <c r="H42" s="1">
        <f t="shared" si="6"/>
        <v>46.332859401638963</v>
      </c>
    </row>
    <row r="43" spans="1:8" x14ac:dyDescent="0.25">
      <c r="A43" s="3">
        <f t="shared" si="2"/>
        <v>0.33999999999999941</v>
      </c>
      <c r="B43" s="11">
        <v>0.249</v>
      </c>
      <c r="C43" s="1">
        <f t="shared" si="7"/>
        <v>30.627551844644096</v>
      </c>
      <c r="D43" s="1">
        <f t="shared" si="8"/>
        <v>22.43017767445998</v>
      </c>
      <c r="E43" s="1">
        <f t="shared" si="3"/>
        <v>44.86035534891996</v>
      </c>
      <c r="F43" s="1">
        <f t="shared" si="4"/>
        <v>1691.1995083700031</v>
      </c>
      <c r="G43" s="1">
        <f t="shared" si="5"/>
        <v>42.279987709250079</v>
      </c>
      <c r="H43" s="1">
        <f t="shared" si="6"/>
        <v>44.279987709250079</v>
      </c>
    </row>
    <row r="44" spans="1:8" x14ac:dyDescent="0.25">
      <c r="A44" s="3">
        <f t="shared" si="2"/>
        <v>0.3199999999999994</v>
      </c>
      <c r="B44" s="11">
        <v>0.23633000000000001</v>
      </c>
      <c r="C44" s="1">
        <f t="shared" si="7"/>
        <v>28.82593114790032</v>
      </c>
      <c r="D44" s="1">
        <f t="shared" si="8"/>
        <v>21.2888509630728</v>
      </c>
      <c r="E44" s="1">
        <f t="shared" si="3"/>
        <v>42.5777019261456</v>
      </c>
      <c r="F44" s="1">
        <f t="shared" si="4"/>
        <v>1605.1453004541481</v>
      </c>
      <c r="G44" s="1">
        <f t="shared" si="5"/>
        <v>40.1286325113537</v>
      </c>
      <c r="H44" s="1">
        <f t="shared" si="6"/>
        <v>42.1286325113537</v>
      </c>
    </row>
    <row r="45" spans="1:8" x14ac:dyDescent="0.25">
      <c r="A45" s="3">
        <f t="shared" si="2"/>
        <v>0.29999999999999938</v>
      </c>
      <c r="B45" s="11">
        <v>0.22317000000000001</v>
      </c>
      <c r="C45" s="1">
        <f t="shared" si="7"/>
        <v>27.024310451156545</v>
      </c>
      <c r="D45" s="1">
        <f t="shared" si="8"/>
        <v>20.103384544615395</v>
      </c>
      <c r="E45" s="1">
        <f t="shared" si="3"/>
        <v>40.206769089230789</v>
      </c>
      <c r="F45" s="1">
        <f t="shared" si="4"/>
        <v>1515.7630292487293</v>
      </c>
      <c r="G45" s="1">
        <f t="shared" si="5"/>
        <v>37.89407573121823</v>
      </c>
      <c r="H45" s="1">
        <f t="shared" si="6"/>
        <v>39.89407573121823</v>
      </c>
    </row>
    <row r="46" spans="1:8" x14ac:dyDescent="0.25">
      <c r="A46" s="3">
        <f t="shared" si="2"/>
        <v>0.27999999999999936</v>
      </c>
      <c r="B46" s="11">
        <v>0.20959</v>
      </c>
      <c r="C46" s="1">
        <f t="shared" si="7"/>
        <v>25.22268975441277</v>
      </c>
      <c r="D46" s="1">
        <f t="shared" si="8"/>
        <v>18.880084091526374</v>
      </c>
      <c r="E46" s="1">
        <f t="shared" si="3"/>
        <v>37.760168183052748</v>
      </c>
      <c r="F46" s="1">
        <f t="shared" si="4"/>
        <v>1423.5281323665422</v>
      </c>
      <c r="G46" s="1">
        <f t="shared" si="5"/>
        <v>35.588203309163553</v>
      </c>
      <c r="H46" s="1">
        <f t="shared" si="6"/>
        <v>37.588203309163553</v>
      </c>
    </row>
    <row r="47" spans="1:8" x14ac:dyDescent="0.25">
      <c r="A47" s="3">
        <f t="shared" si="2"/>
        <v>0.25999999999999934</v>
      </c>
      <c r="B47" s="11">
        <v>0.19564000000000001</v>
      </c>
      <c r="C47" s="1">
        <f t="shared" si="7"/>
        <v>23.421069057668994</v>
      </c>
      <c r="D47" s="1">
        <f t="shared" si="8"/>
        <v>17.623453655547593</v>
      </c>
      <c r="E47" s="1">
        <f t="shared" si="3"/>
        <v>35.246907311095185</v>
      </c>
      <c r="F47" s="1">
        <f t="shared" si="4"/>
        <v>1328.7802081024397</v>
      </c>
      <c r="G47" s="1">
        <f t="shared" si="5"/>
        <v>33.219505202560995</v>
      </c>
      <c r="H47" s="1">
        <f t="shared" si="6"/>
        <v>35.219505202560995</v>
      </c>
    </row>
    <row r="48" spans="1:8" x14ac:dyDescent="0.25">
      <c r="A48" s="3">
        <f t="shared" si="2"/>
        <v>0.23999999999999935</v>
      </c>
      <c r="B48" s="11">
        <v>0.18139</v>
      </c>
      <c r="C48" s="1">
        <f t="shared" si="7"/>
        <v>21.619448360925222</v>
      </c>
      <c r="D48" s="1">
        <f t="shared" si="8"/>
        <v>16.339798909117651</v>
      </c>
      <c r="E48" s="1">
        <f t="shared" si="3"/>
        <v>32.679597818235301</v>
      </c>
      <c r="F48" s="1">
        <f t="shared" si="4"/>
        <v>1231.9946940692162</v>
      </c>
      <c r="G48" s="1">
        <f t="shared" si="5"/>
        <v>30.799867351730406</v>
      </c>
      <c r="H48" s="1">
        <f t="shared" si="6"/>
        <v>32.799867351730406</v>
      </c>
    </row>
    <row r="49" spans="1:9" x14ac:dyDescent="0.25">
      <c r="A49" s="3">
        <f t="shared" si="2"/>
        <v>0.21999999999999936</v>
      </c>
      <c r="B49" s="11">
        <v>0.16689000000000001</v>
      </c>
      <c r="C49" s="1">
        <f t="shared" si="7"/>
        <v>19.817827664181451</v>
      </c>
      <c r="D49" s="1">
        <f t="shared" si="8"/>
        <v>15.033623903978418</v>
      </c>
      <c r="E49" s="1">
        <f t="shared" si="3"/>
        <v>30.067247807956836</v>
      </c>
      <c r="F49" s="1">
        <f t="shared" si="4"/>
        <v>1133.5111885617264</v>
      </c>
      <c r="G49" s="1">
        <f t="shared" si="5"/>
        <v>28.337779714043158</v>
      </c>
      <c r="H49" s="1">
        <f t="shared" si="6"/>
        <v>30.337779714043158</v>
      </c>
    </row>
    <row r="50" spans="1:9" x14ac:dyDescent="0.25">
      <c r="A50" s="3">
        <f t="shared" si="2"/>
        <v>0.19999999999999937</v>
      </c>
      <c r="B50" s="11">
        <v>0.15218000000000001</v>
      </c>
      <c r="C50" s="1">
        <f t="shared" si="7"/>
        <v>18.016206967437675</v>
      </c>
      <c r="D50" s="1">
        <f t="shared" si="8"/>
        <v>13.708531881523372</v>
      </c>
      <c r="E50" s="1">
        <f t="shared" si="3"/>
        <v>27.417063763046745</v>
      </c>
      <c r="F50" s="1">
        <f t="shared" si="4"/>
        <v>1033.6013702158518</v>
      </c>
      <c r="G50" s="1">
        <f t="shared" si="5"/>
        <v>25.840034255396297</v>
      </c>
      <c r="H50" s="1">
        <f t="shared" si="6"/>
        <v>27.840034255396297</v>
      </c>
    </row>
    <row r="51" spans="1:9" x14ac:dyDescent="0.25">
      <c r="A51" s="3">
        <f t="shared" si="2"/>
        <v>0.17999999999999938</v>
      </c>
      <c r="B51" s="11">
        <v>0.13730000000000001</v>
      </c>
      <c r="C51" s="1">
        <f t="shared" si="7"/>
        <v>16.214586270693903</v>
      </c>
      <c r="D51" s="1">
        <f t="shared" si="8"/>
        <v>12.368126083146004</v>
      </c>
      <c r="E51" s="1">
        <f t="shared" si="3"/>
        <v>24.736252166292008</v>
      </c>
      <c r="F51" s="1">
        <f t="shared" si="4"/>
        <v>932.53691766747579</v>
      </c>
      <c r="G51" s="1">
        <f t="shared" si="5"/>
        <v>23.313422941686895</v>
      </c>
      <c r="H51" s="1">
        <f t="shared" si="6"/>
        <v>25.313422941686895</v>
      </c>
    </row>
    <row r="52" spans="1:9" x14ac:dyDescent="0.25">
      <c r="A52" s="3">
        <f t="shared" si="2"/>
        <v>0.15999999999999939</v>
      </c>
      <c r="B52" s="11">
        <v>0.12228</v>
      </c>
      <c r="C52" s="1">
        <f t="shared" si="7"/>
        <v>14.412965573950132</v>
      </c>
      <c r="D52" s="1">
        <f t="shared" si="8"/>
        <v>11.01510893989143</v>
      </c>
      <c r="E52" s="1">
        <f t="shared" si="3"/>
        <v>22.03021787978286</v>
      </c>
      <c r="F52" s="1">
        <f t="shared" si="4"/>
        <v>830.52158989351005</v>
      </c>
      <c r="G52" s="1">
        <f t="shared" si="5"/>
        <v>20.76303974733775</v>
      </c>
      <c r="H52" s="1">
        <f t="shared" si="6"/>
        <v>22.76303974733775</v>
      </c>
    </row>
    <row r="53" spans="1:9" x14ac:dyDescent="0.25">
      <c r="A53" s="14">
        <f t="shared" si="2"/>
        <v>0.1399999999999994</v>
      </c>
      <c r="B53" s="15">
        <v>0.10716000000000001</v>
      </c>
      <c r="C53" s="16">
        <f t="shared" si="7"/>
        <v>12.61134487720636</v>
      </c>
      <c r="D53" s="16">
        <f t="shared" si="8"/>
        <v>9.653083693153139</v>
      </c>
      <c r="E53" s="16">
        <f t="shared" si="3"/>
        <v>19.306167386306278</v>
      </c>
      <c r="F53" s="16">
        <f t="shared" si="4"/>
        <v>727.82706552983768</v>
      </c>
      <c r="G53" s="16">
        <f t="shared" si="5"/>
        <v>18.195676638245942</v>
      </c>
      <c r="H53" s="16">
        <f t="shared" si="6"/>
        <v>20.195676638245942</v>
      </c>
      <c r="I53" s="1" t="s">
        <v>21</v>
      </c>
    </row>
    <row r="54" spans="1:9" x14ac:dyDescent="0.25">
      <c r="A54" s="3">
        <f t="shared" si="2"/>
        <v>0.1199999999999994</v>
      </c>
      <c r="B54" s="11">
        <v>9.1950000000000004E-2</v>
      </c>
      <c r="C54" s="1">
        <f t="shared" si="7"/>
        <v>10.809724180462586</v>
      </c>
      <c r="D54" s="1">
        <f t="shared" si="8"/>
        <v>8.2829511532794982</v>
      </c>
      <c r="E54" s="1">
        <f t="shared" si="3"/>
        <v>16.565902306558996</v>
      </c>
      <c r="F54" s="1">
        <f t="shared" si="4"/>
        <v>624.52126423542882</v>
      </c>
      <c r="G54" s="1">
        <f t="shared" si="5"/>
        <v>15.61303160588572</v>
      </c>
      <c r="H54" s="1">
        <f t="shared" si="6"/>
        <v>17.61303160588572</v>
      </c>
    </row>
    <row r="55" spans="1:9" x14ac:dyDescent="0.25">
      <c r="A55" s="3">
        <f t="shared" si="2"/>
        <v>9.9999999999999395E-2</v>
      </c>
      <c r="B55" s="11">
        <v>7.6689999999999994E-2</v>
      </c>
      <c r="C55" s="1">
        <f t="shared" si="7"/>
        <v>9.0081034837188128</v>
      </c>
      <c r="D55" s="1">
        <f t="shared" si="8"/>
        <v>6.9083145616639987</v>
      </c>
      <c r="E55" s="1">
        <f t="shared" si="3"/>
        <v>13.816629123327997</v>
      </c>
      <c r="F55" s="1">
        <f t="shared" si="4"/>
        <v>520.87586464616675</v>
      </c>
      <c r="G55" s="1">
        <f t="shared" si="5"/>
        <v>13.021896616154169</v>
      </c>
      <c r="H55" s="1">
        <f t="shared" si="6"/>
        <v>15.021896616154169</v>
      </c>
    </row>
    <row r="56" spans="1:9" x14ac:dyDescent="0.25">
      <c r="A56" s="3">
        <f t="shared" si="2"/>
        <v>7.9999999999999391E-2</v>
      </c>
      <c r="B56" s="11">
        <v>6.1379999999999997E-2</v>
      </c>
      <c r="C56" s="1">
        <f t="shared" si="7"/>
        <v>7.2064827869750383</v>
      </c>
      <c r="D56" s="1">
        <f t="shared" si="8"/>
        <v>5.5291739183066397</v>
      </c>
      <c r="E56" s="1">
        <f t="shared" si="3"/>
        <v>11.058347836613279</v>
      </c>
      <c r="F56" s="1">
        <f t="shared" si="4"/>
        <v>416.89086676205136</v>
      </c>
      <c r="G56" s="1">
        <f t="shared" si="5"/>
        <v>10.422271669051284</v>
      </c>
      <c r="H56" s="1">
        <f t="shared" si="6"/>
        <v>12.422271669051284</v>
      </c>
    </row>
    <row r="57" spans="1:9" x14ac:dyDescent="0.25">
      <c r="A57" s="3">
        <f t="shared" si="2"/>
        <v>5.9999999999999387E-2</v>
      </c>
      <c r="B57" s="11">
        <v>4.6050000000000001E-2</v>
      </c>
      <c r="C57" s="1">
        <f t="shared" si="7"/>
        <v>5.4048620902312647</v>
      </c>
      <c r="D57" s="1">
        <f t="shared" si="8"/>
        <v>4.1482316542525384</v>
      </c>
      <c r="E57" s="1">
        <f t="shared" si="3"/>
        <v>8.2964633085050767</v>
      </c>
      <c r="F57" s="1">
        <f t="shared" si="4"/>
        <v>312.77002955999455</v>
      </c>
      <c r="G57" s="1">
        <f t="shared" si="5"/>
        <v>7.8192507389998642</v>
      </c>
      <c r="H57" s="1">
        <f t="shared" si="6"/>
        <v>9.8192507389998642</v>
      </c>
    </row>
    <row r="58" spans="1:9" x14ac:dyDescent="0.25">
      <c r="A58" s="3">
        <f t="shared" si="2"/>
        <v>3.9999999999999383E-2</v>
      </c>
      <c r="B58" s="11">
        <v>3.0710000000000001E-2</v>
      </c>
      <c r="C58" s="1">
        <f t="shared" si="7"/>
        <v>3.6032413934874912</v>
      </c>
      <c r="D58" s="1">
        <f t="shared" si="8"/>
        <v>2.766388579850064</v>
      </c>
      <c r="E58" s="1">
        <f t="shared" si="3"/>
        <v>5.5327771597001281</v>
      </c>
      <c r="F58" s="1">
        <f t="shared" si="4"/>
        <v>208.58127269896707</v>
      </c>
      <c r="G58" s="1">
        <f t="shared" si="5"/>
        <v>5.2145318174741764</v>
      </c>
      <c r="H58" s="1">
        <f t="shared" si="6"/>
        <v>7.2145318174741764</v>
      </c>
    </row>
    <row r="59" spans="1:9" x14ac:dyDescent="0.25">
      <c r="A59" s="3">
        <f t="shared" si="2"/>
        <v>1.9999999999999383E-2</v>
      </c>
      <c r="B59" s="11">
        <v>1.5350000000000001E-2</v>
      </c>
      <c r="C59" s="1">
        <f t="shared" si="7"/>
        <v>1.8016206967437178</v>
      </c>
      <c r="D59" s="1">
        <f t="shared" si="8"/>
        <v>1.3827438847508462</v>
      </c>
      <c r="E59" s="1">
        <f t="shared" si="3"/>
        <v>2.7654877695016924</v>
      </c>
      <c r="F59" s="1">
        <f t="shared" si="4"/>
        <v>104.25667651999819</v>
      </c>
      <c r="G59" s="1">
        <f t="shared" si="5"/>
        <v>2.606416912999955</v>
      </c>
      <c r="H59" s="1">
        <f t="shared" si="6"/>
        <v>4.606416912999955</v>
      </c>
    </row>
    <row r="60" spans="1:9" x14ac:dyDescent="0.25">
      <c r="A60" s="3">
        <f t="shared" si="2"/>
        <v>-6.1756155744774333E-16</v>
      </c>
      <c r="B60" s="11">
        <v>0</v>
      </c>
      <c r="C60" s="1">
        <f t="shared" si="7"/>
        <v>-5.5630584170558658E-14</v>
      </c>
      <c r="D60" s="1">
        <f t="shared" si="8"/>
        <v>0</v>
      </c>
      <c r="E60" s="1">
        <f t="shared" si="3"/>
        <v>0</v>
      </c>
      <c r="F60" s="1">
        <f t="shared" si="4"/>
        <v>0</v>
      </c>
      <c r="G60" s="1">
        <f t="shared" si="5"/>
        <v>0</v>
      </c>
      <c r="H60" s="1">
        <f t="shared" si="6"/>
        <v>2</v>
      </c>
    </row>
    <row r="62" spans="1:9" x14ac:dyDescent="0.25">
      <c r="A62" s="1">
        <f>SUM(A10:A61)</f>
        <v>25.499999999999982</v>
      </c>
      <c r="B62" s="12">
        <f t="shared" ref="B62:H62" si="9">SUM(B10:B61)</f>
        <v>9.8325799999999965</v>
      </c>
      <c r="C62" s="1">
        <f t="shared" si="9"/>
        <v>2297.0663883483089</v>
      </c>
      <c r="D62" s="1">
        <f t="shared" si="9"/>
        <v>885.72898151944446</v>
      </c>
      <c r="E62" s="1">
        <f t="shared" si="9"/>
        <v>1771.4579630388889</v>
      </c>
      <c r="F62" s="1">
        <f t="shared" si="9"/>
        <v>66782.548040195717</v>
      </c>
      <c r="G62" s="1">
        <f t="shared" si="9"/>
        <v>1669.5637010048924</v>
      </c>
      <c r="H62" s="1">
        <f t="shared" si="9"/>
        <v>1771.5637010048924</v>
      </c>
      <c r="I62" s="1" t="s">
        <v>18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Koenig, Evan</cp:lastModifiedBy>
  <dcterms:created xsi:type="dcterms:W3CDTF">2005-06-28T22:28:53Z</dcterms:created>
  <dcterms:modified xsi:type="dcterms:W3CDTF">2026-10-01T16:11:15Z</dcterms:modified>
</cp:coreProperties>
</file>